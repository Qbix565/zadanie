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Raport sprzedaży" sheetId="1" r:id="rId1"/>
  </sheets>
  <definedNames>
    <definedName name="ExternalData_1" localSheetId="0" hidden="1">'Raport sprzedaży'!$A$1:$F$11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E15" i="1"/>
  <c r="G15" i="1"/>
  <c r="H15" i="1"/>
  <c r="J2" i="1"/>
  <c r="J3" i="1"/>
  <c r="J4" i="1"/>
  <c r="J5" i="1"/>
  <c r="J6" i="1"/>
  <c r="J7" i="1"/>
  <c r="J8" i="1"/>
  <c r="J9" i="1"/>
  <c r="J10" i="1"/>
  <c r="J11" i="1"/>
  <c r="I2" i="1"/>
  <c r="I7" i="1"/>
  <c r="G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H11" i="1" s="1"/>
  <c r="I5" i="1" l="1"/>
  <c r="I11" i="1"/>
  <c r="H10" i="1"/>
  <c r="I10" i="1" s="1"/>
  <c r="I6" i="1"/>
  <c r="I9" i="1"/>
  <c r="H2" i="1"/>
  <c r="I3" i="1" s="1"/>
  <c r="I8" i="1"/>
  <c r="I4" i="1"/>
</calcChain>
</file>

<file path=xl/connections.xml><?xml version="1.0" encoding="utf-8"?>
<connections xmlns="http://schemas.openxmlformats.org/spreadsheetml/2006/main">
  <connection id="1" keepAlive="1" name="Zapytanie — sprzedaz" description="Połączenie z zapytaniem „sprzedaz” w skoroszycie." type="5" refreshedVersion="8" background="1" saveData="1">
    <dbPr connection="Provider=Microsoft.Mashup.OleDb.1;Data Source=$Workbook$;Location=sprzedaz;Extended Properties=&quot;&quot;" command="SELECT * FROM [sprzedaz]"/>
  </connection>
</connections>
</file>

<file path=xl/sharedStrings.xml><?xml version="1.0" encoding="utf-8"?>
<sst xmlns="http://schemas.openxmlformats.org/spreadsheetml/2006/main" count="36" uniqueCount="30">
  <si>
    <t>ID</t>
  </si>
  <si>
    <t>Data</t>
  </si>
  <si>
    <t>Produkt</t>
  </si>
  <si>
    <t>Kategoria</t>
  </si>
  <si>
    <t>Ilosc</t>
  </si>
  <si>
    <t>Cena_jednostkowa</t>
  </si>
  <si>
    <t>Mysz bezprzewodowa</t>
  </si>
  <si>
    <t>Akcesoria</t>
  </si>
  <si>
    <t>Klawiatura mechaniczna</t>
  </si>
  <si>
    <t>Monitor 24 cale</t>
  </si>
  <si>
    <t>Sprzęt</t>
  </si>
  <si>
    <t>Kabel HDMI 2m</t>
  </si>
  <si>
    <t>Okablowanie</t>
  </si>
  <si>
    <t>Laptop biurowy</t>
  </si>
  <si>
    <t>Podkładka pod mysz</t>
  </si>
  <si>
    <t>Dysk SSD 500GB</t>
  </si>
  <si>
    <t>Podzespoły</t>
  </si>
  <si>
    <t>Pamięć RAM 8GB</t>
  </si>
  <si>
    <t>Zasilacz 600W</t>
  </si>
  <si>
    <t>Słuchawki z mikrofonem</t>
  </si>
  <si>
    <t>Imię i nazwisko</t>
  </si>
  <si>
    <t>Jakub Krajkowski</t>
  </si>
  <si>
    <t>Wartosć netto</t>
  </si>
  <si>
    <t>VAT</t>
  </si>
  <si>
    <t>Wartosc brutto</t>
  </si>
  <si>
    <t>Status</t>
  </si>
  <si>
    <t>Suma przychodów</t>
  </si>
  <si>
    <t>średnia wartosc zamowienia netto</t>
  </si>
  <si>
    <t>najwyzsza jednostkowa</t>
  </si>
  <si>
    <t>najnizsza jednostkowa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</si>
</sst>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zł&quot;_-;\-* #,##0.00\ &quot;zł&quot;_-;_-* &quot;-&quot;??\ &quot;zł&quot;_-;_-@_-"/>
    <numFmt numFmtId="164" formatCode="yyyy\-mm\-dd"/>
  </numFmts>
  <fonts count="3">
    <font>
      <sz val="11"/>
      <color theme="1"/>
      <name val="Aptos Narrow"/>
      <family val="2"/>
      <charset val="1"/>
    </font>
    <font>
      <sz val="10"/>
      <name val="Arial"/>
    </font>
    <font>
      <b/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89928891872917"/>
        <bgColor rgb="FFCCFF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9">
    <xf numFmtId="0" fontId="0" fillId="0" borderId="0" xfId="0"/>
    <xf numFmtId="0" fontId="0" fillId="0" borderId="2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/>
    <xf numFmtId="164" fontId="0" fillId="0" borderId="0" xfId="0" applyNumberFormat="1"/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44" fontId="1" fillId="0" borderId="0" xfId="1"/>
    <xf numFmtId="0" fontId="0" fillId="0" borderId="0" xfId="0" applyNumberFormat="1"/>
  </cellXfs>
  <cellStyles count="2">
    <cellStyle name="Normalny" xfId="0" builtinId="0"/>
    <cellStyle name="Walutowy" xfId="1" builtinId="4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19800</xdr:colOff>
      <xdr:row>17</xdr:row>
      <xdr:rowOff>26280</xdr:rowOff>
    </xdr:from>
    <xdr:to>
      <xdr:col>3</xdr:col>
      <xdr:colOff>222120</xdr:colOff>
      <xdr:row>20</xdr:row>
      <xdr:rowOff>63720</xdr:rowOff>
    </xdr:to>
    <xdr:sp macro="" textlink="">
      <xdr:nvSpPr>
        <xdr:cNvPr id="2" name="pole tekstowe 1"/>
        <xdr:cNvSpPr/>
      </xdr:nvSpPr>
      <xdr:spPr>
        <a:xfrm>
          <a:off x="19800" y="3264840"/>
          <a:ext cx="3489120" cy="608760"/>
        </a:xfrm>
        <a:prstGeom prst="rect">
          <a:avLst/>
        </a:prstGeom>
        <a:solidFill>
          <a:srgbClr val="FBE3D6"/>
        </a:solidFill>
        <a:ln w="19050">
          <a:solidFill>
            <a:srgbClr val="E97132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100" b="1" i="1" u="none" strike="noStrike">
              <a:solidFill>
                <a:schemeClr val="dk1"/>
              </a:solidFill>
              <a:effectLst/>
              <a:uFillTx/>
              <a:latin typeface="Aptos Narrow"/>
            </a:rPr>
            <a:t>FORMATOWANIE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1. Zmień nazwę arkusza na "Raport sprzedaży".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2. Kolumnie Cena_jednostkowa nadaj format walutowy (zł).</a:t>
          </a:r>
          <a:endParaRPr lang="pl-PL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26280</xdr:colOff>
      <xdr:row>17</xdr:row>
      <xdr:rowOff>19800</xdr:rowOff>
    </xdr:from>
    <xdr:to>
      <xdr:col>6</xdr:col>
      <xdr:colOff>353466</xdr:colOff>
      <xdr:row>23</xdr:row>
      <xdr:rowOff>174240</xdr:rowOff>
    </xdr:to>
    <xdr:sp macro="" textlink="">
      <xdr:nvSpPr>
        <xdr:cNvPr id="3" name="pole tekstowe 2"/>
        <xdr:cNvSpPr/>
      </xdr:nvSpPr>
      <xdr:spPr>
        <a:xfrm>
          <a:off x="4298040" y="3258360"/>
          <a:ext cx="3501000" cy="1297440"/>
        </a:xfrm>
        <a:prstGeom prst="rect">
          <a:avLst/>
        </a:prstGeom>
        <a:solidFill>
          <a:srgbClr val="D9F2D0"/>
        </a:solidFill>
        <a:ln w="19050">
          <a:solidFill>
            <a:srgbClr val="196B24"/>
          </a:solidFill>
          <a:miter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100" b="1" i="1" u="none" strike="noStrike">
              <a:solidFill>
                <a:schemeClr val="dk1"/>
              </a:solidFill>
              <a:effectLst/>
              <a:uFillTx/>
              <a:latin typeface="Aptos Narrow"/>
            </a:rPr>
            <a:t>OBLICZENIA (FORMUŁY)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1. Dodaj nową kolumnę "Warotść netto" i oblicz kwotę zamówienia.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2. Dodaj kolumnę "VAT" i oblicz kwotę podatku, przyjmijmy stawkę 23% od wartości netto.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3. Dodaj kolumnę "Wartość brutto" i zsumuj wartość netto i VAT.</a:t>
          </a:r>
          <a:endParaRPr lang="pl-PL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19800</xdr:colOff>
      <xdr:row>21</xdr:row>
      <xdr:rowOff>32760</xdr:rowOff>
    </xdr:from>
    <xdr:to>
      <xdr:col>3</xdr:col>
      <xdr:colOff>224640</xdr:colOff>
      <xdr:row>25</xdr:row>
      <xdr:rowOff>51840</xdr:rowOff>
    </xdr:to>
    <xdr:sp macro="" textlink="">
      <xdr:nvSpPr>
        <xdr:cNvPr id="4" name="pole tekstowe 3"/>
        <xdr:cNvSpPr/>
      </xdr:nvSpPr>
      <xdr:spPr>
        <a:xfrm>
          <a:off x="19800" y="4033440"/>
          <a:ext cx="3491640" cy="780840"/>
        </a:xfrm>
        <a:prstGeom prst="rect">
          <a:avLst/>
        </a:prstGeom>
        <a:solidFill>
          <a:srgbClr val="DCEAF7"/>
        </a:solidFill>
        <a:ln w="19050">
          <a:solidFill>
            <a:srgbClr val="156082"/>
          </a:solidFill>
          <a:miter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i="1" u="none" strike="noStrike">
              <a:solidFill>
                <a:schemeClr val="dk1"/>
              </a:solidFill>
              <a:effectLst/>
              <a:uFillTx/>
              <a:latin typeface="Aptos Narrow"/>
              <a:ea typeface="Aptos Narrow"/>
            </a:rPr>
            <a:t>FUNKCJA LOGICZNA (JEŻELI)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  <a:ea typeface="Aptos Narrow"/>
            </a:rPr>
            <a:t>1. Dodaj kolumnę "Status" i użyj funkcji JEŻELI: jeśli wartość brutto zamówienia &gt;= 500zł, wpisz słowo "Duże", w przeciwnym razie wpisz "Standard"</a:t>
          </a:r>
          <a:endParaRPr lang="pl-PL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19800</xdr:colOff>
      <xdr:row>24</xdr:row>
      <xdr:rowOff>124920</xdr:rowOff>
    </xdr:from>
    <xdr:to>
      <xdr:col>6</xdr:col>
      <xdr:colOff>346986</xdr:colOff>
      <xdr:row>30</xdr:row>
      <xdr:rowOff>107280</xdr:rowOff>
    </xdr:to>
    <xdr:sp macro="" textlink="">
      <xdr:nvSpPr>
        <xdr:cNvPr id="5" name="pole tekstowe 4"/>
        <xdr:cNvSpPr/>
      </xdr:nvSpPr>
      <xdr:spPr>
        <a:xfrm>
          <a:off x="4291560" y="4696920"/>
          <a:ext cx="3501000" cy="1125360"/>
        </a:xfrm>
        <a:prstGeom prst="rect">
          <a:avLst/>
        </a:prstGeom>
        <a:solidFill>
          <a:srgbClr val="F2CFEE"/>
        </a:solidFill>
        <a:ln w="19050">
          <a:solidFill>
            <a:srgbClr val="A02B93"/>
          </a:solidFill>
          <a:miter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100" b="1" i="1" u="none" strike="noStrike">
              <a:solidFill>
                <a:schemeClr val="dk1"/>
              </a:solidFill>
              <a:effectLst/>
              <a:uFillTx/>
              <a:latin typeface="Aptos Narrow"/>
            </a:rPr>
            <a:t>PODSUMOWANIE (SUMA, ŚREDNIA)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1. Pod tabelą oblicz: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   - suma przychodów (całkowita wartość brutto),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   - średnia wartość zamówienia netto,</a:t>
          </a:r>
          <a:endParaRPr lang="pl-PL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Aptos Narrow"/>
            </a:rPr>
            <a:t>   - najwyższa i najniższa cena jednostkowa produktu w zestawieniu.</a:t>
          </a:r>
          <a:endParaRPr lang="pl-PL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sprzedaz" displayName="sprzedaz" ref="A1:J11" totalsRowShown="0">
  <autoFilter ref="A1:J11"/>
  <tableColumns count="10">
    <tableColumn id="1" name="ID"/>
    <tableColumn id="2" name="Data"/>
    <tableColumn id="3" name="Produkt"/>
    <tableColumn id="4" name="Kategoria"/>
    <tableColumn id="5" name="Ilosc"/>
    <tableColumn id="6" name="Cena_jednostkowa" dataCellStyle="Walutowy"/>
    <tableColumn id="7" name="Wartosć netto" dataDxfId="3">
      <calculatedColumnFormula>sprzedaz[[#This Row],[Ilosc]]*sprzedaz[[#This Row],[Cena_jednostkowa]]</calculatedColumnFormula>
    </tableColumn>
    <tableColumn id="8" name="VAT" dataDxfId="2">
      <calculatedColumnFormula>sprzedaz[[#This Row],[Wartosć netto]]*0.23</calculatedColumnFormula>
    </tableColumn>
    <tableColumn id="9" name="Wartosc brutto" dataDxfId="1">
      <calculatedColumnFormula>sprzedaz[[#This Row],[Wartosć netto]]+sprzedaz[[#This Row],[VAT]]</calculatedColumnFormula>
    </tableColumn>
    <tableColumn id="10" name="Status" dataDxfId="0">
      <calculatedColumnFormula>IF(sprzedaz[[#This Row],[Wartosc brutto]]&gt;=500,"Duże","Standard")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Normal="100" workbookViewId="0">
      <selection activeCell="C31" sqref="C31"/>
    </sheetView>
  </sheetViews>
  <sheetFormatPr defaultColWidth="8.625" defaultRowHeight="15" customHeight="1"/>
  <cols>
    <col min="1" max="1" width="5.25" customWidth="1"/>
    <col min="2" max="2" width="13.875" customWidth="1"/>
    <col min="3" max="3" width="23.25" customWidth="1"/>
    <col min="4" max="4" width="12.75" customWidth="1"/>
    <col min="5" max="5" width="20.375" bestFit="1" customWidth="1"/>
    <col min="6" max="6" width="20.625" customWidth="1"/>
    <col min="7" max="7" width="29.125" bestFit="1" customWidth="1"/>
    <col min="8" max="8" width="16.25" bestFit="1" customWidth="1"/>
    <col min="9" max="9" width="15.1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22</v>
      </c>
      <c r="H1" t="s">
        <v>23</v>
      </c>
      <c r="I1" t="s">
        <v>24</v>
      </c>
      <c r="J1" t="s">
        <v>25</v>
      </c>
    </row>
    <row r="2" spans="1:12" ht="14.25">
      <c r="A2">
        <v>101</v>
      </c>
      <c r="B2" s="4">
        <v>45293</v>
      </c>
      <c r="C2" t="s">
        <v>6</v>
      </c>
      <c r="D2" t="s">
        <v>7</v>
      </c>
      <c r="E2">
        <v>5</v>
      </c>
      <c r="F2" s="7">
        <v>45</v>
      </c>
      <c r="G2">
        <f>sprzedaz[[#This Row],[Ilosc]]*sprzedaz[[#This Row],[Cena_jednostkowa]]</f>
        <v>225</v>
      </c>
      <c r="H2">
        <f>sprzedaz[[#This Row],[Wartosć netto]]*0.23</f>
        <v>51.75</v>
      </c>
      <c r="I2" s="8">
        <f>sprzedaz[[#This Row],[Wartosć netto]]+sprzedaz[[#This Row],[VAT]]</f>
        <v>276.75</v>
      </c>
      <c r="J2" s="8" t="str">
        <f>IF(sprzedaz[[#This Row],[Wartosc brutto]]&gt;=500,"Duże","Standard")</f>
        <v>Standard</v>
      </c>
    </row>
    <row r="3" spans="1:12" ht="14.25">
      <c r="A3">
        <v>102</v>
      </c>
      <c r="B3" s="4">
        <v>45294</v>
      </c>
      <c r="C3" t="s">
        <v>8</v>
      </c>
      <c r="D3" t="s">
        <v>7</v>
      </c>
      <c r="E3">
        <v>2</v>
      </c>
      <c r="F3" s="7">
        <v>250</v>
      </c>
      <c r="G3">
        <f>sprzedaz[[#This Row],[Ilosc]]*sprzedaz[[#This Row],[Cena_jednostkowa]]</f>
        <v>500</v>
      </c>
      <c r="H3">
        <f>sprzedaz[[#This Row],[Wartosć netto]]*0.23</f>
        <v>115</v>
      </c>
      <c r="I3">
        <f>sprzedaz[[#This Row],[Wartosć netto]]+sprzedaz[[#This Row],[VAT]]</f>
        <v>615</v>
      </c>
      <c r="J3" s="8" t="str">
        <f>IF(sprzedaz[[#This Row],[Wartosc brutto]]&gt;=500,"Duże","Standard")</f>
        <v>Duże</v>
      </c>
    </row>
    <row r="4" spans="1:12" ht="14.25">
      <c r="A4">
        <v>103</v>
      </c>
      <c r="B4" s="4">
        <v>45294</v>
      </c>
      <c r="C4" t="s">
        <v>9</v>
      </c>
      <c r="D4" t="s">
        <v>10</v>
      </c>
      <c r="E4">
        <v>1</v>
      </c>
      <c r="F4" s="7">
        <v>600</v>
      </c>
      <c r="G4">
        <f>sprzedaz[[#This Row],[Ilosc]]*sprzedaz[[#This Row],[Cena_jednostkowa]]</f>
        <v>600</v>
      </c>
      <c r="H4">
        <f>sprzedaz[[#This Row],[Wartosć netto]]*0.23</f>
        <v>138</v>
      </c>
      <c r="I4">
        <f>sprzedaz[[#This Row],[Wartosć netto]]+sprzedaz[[#This Row],[VAT]]</f>
        <v>738</v>
      </c>
      <c r="J4" s="8" t="str">
        <f>IF(sprzedaz[[#This Row],[Wartosc brutto]]&gt;=500,"Duże","Standard")</f>
        <v>Duże</v>
      </c>
    </row>
    <row r="5" spans="1:12" ht="14.25">
      <c r="A5">
        <v>104</v>
      </c>
      <c r="B5" s="4">
        <v>45296</v>
      </c>
      <c r="C5" t="s">
        <v>11</v>
      </c>
      <c r="D5" t="s">
        <v>12</v>
      </c>
      <c r="E5">
        <v>10</v>
      </c>
      <c r="F5" s="7">
        <v>15</v>
      </c>
      <c r="G5">
        <f>sprzedaz[[#This Row],[Ilosc]]*sprzedaz[[#This Row],[Cena_jednostkowa]]</f>
        <v>150</v>
      </c>
      <c r="H5">
        <f>sprzedaz[[#This Row],[Wartosć netto]]*0.23</f>
        <v>34.5</v>
      </c>
      <c r="I5">
        <f>sprzedaz[[#This Row],[Wartosć netto]]+sprzedaz[[#This Row],[VAT]]</f>
        <v>184.5</v>
      </c>
      <c r="J5" s="8" t="str">
        <f>IF(sprzedaz[[#This Row],[Wartosc brutto]]&gt;=500,"Duże","Standard")</f>
        <v>Standard</v>
      </c>
    </row>
    <row r="6" spans="1:12" ht="14.25">
      <c r="A6">
        <v>105</v>
      </c>
      <c r="B6" s="4">
        <v>45297</v>
      </c>
      <c r="C6" t="s">
        <v>13</v>
      </c>
      <c r="D6" t="s">
        <v>10</v>
      </c>
      <c r="E6">
        <v>1</v>
      </c>
      <c r="F6" s="7">
        <v>2500</v>
      </c>
      <c r="G6">
        <f>sprzedaz[[#This Row],[Ilosc]]*sprzedaz[[#This Row],[Cena_jednostkowa]]</f>
        <v>2500</v>
      </c>
      <c r="H6">
        <f>sprzedaz[[#This Row],[Wartosć netto]]*0.23</f>
        <v>575</v>
      </c>
      <c r="I6">
        <f>sprzedaz[[#This Row],[Wartosć netto]]+sprzedaz[[#This Row],[VAT]]</f>
        <v>3075</v>
      </c>
      <c r="J6" s="8" t="str">
        <f>IF(sprzedaz[[#This Row],[Wartosc brutto]]&gt;=500,"Duże","Standard")</f>
        <v>Duże</v>
      </c>
    </row>
    <row r="7" spans="1:12" ht="14.25">
      <c r="A7">
        <v>106</v>
      </c>
      <c r="B7" s="4">
        <v>45299</v>
      </c>
      <c r="C7" t="s">
        <v>14</v>
      </c>
      <c r="D7" t="s">
        <v>7</v>
      </c>
      <c r="E7">
        <v>20</v>
      </c>
      <c r="F7" s="7">
        <v>12</v>
      </c>
      <c r="G7">
        <f>sprzedaz[[#This Row],[Ilosc]]*sprzedaz[[#This Row],[Cena_jednostkowa]]</f>
        <v>240</v>
      </c>
      <c r="H7">
        <f>sprzedaz[[#This Row],[Wartosć netto]]*0.23</f>
        <v>55.2</v>
      </c>
      <c r="I7">
        <f>sprzedaz[[#This Row],[Wartosć netto]]+sprzedaz[[#This Row],[VAT]]</f>
        <v>295.2</v>
      </c>
      <c r="J7" s="8" t="str">
        <f>IF(sprzedaz[[#This Row],[Wartosc brutto]]&gt;=500,"Duże","Standard")</f>
        <v>Standard</v>
      </c>
    </row>
    <row r="8" spans="1:12" ht="14.25">
      <c r="A8">
        <v>107</v>
      </c>
      <c r="B8" s="4">
        <v>45300</v>
      </c>
      <c r="C8" t="s">
        <v>15</v>
      </c>
      <c r="D8" t="s">
        <v>16</v>
      </c>
      <c r="E8">
        <v>4</v>
      </c>
      <c r="F8" s="7">
        <v>180</v>
      </c>
      <c r="G8">
        <f>sprzedaz[[#This Row],[Ilosc]]*sprzedaz[[#This Row],[Cena_jednostkowa]]</f>
        <v>720</v>
      </c>
      <c r="H8">
        <f>sprzedaz[[#This Row],[Wartosć netto]]*0.23</f>
        <v>165.6</v>
      </c>
      <c r="I8">
        <f>sprzedaz[[#This Row],[Wartosć netto]]+sprzedaz[[#This Row],[VAT]]</f>
        <v>885.6</v>
      </c>
      <c r="J8" s="8" t="str">
        <f>IF(sprzedaz[[#This Row],[Wartosc brutto]]&gt;=500,"Duże","Standard")</f>
        <v>Duże</v>
      </c>
    </row>
    <row r="9" spans="1:12" ht="14.25">
      <c r="A9">
        <v>108</v>
      </c>
      <c r="B9" s="4">
        <v>45301</v>
      </c>
      <c r="C9" t="s">
        <v>17</v>
      </c>
      <c r="D9" t="s">
        <v>16</v>
      </c>
      <c r="E9">
        <v>6</v>
      </c>
      <c r="F9" s="7">
        <v>120</v>
      </c>
      <c r="G9">
        <f>sprzedaz[[#This Row],[Ilosc]]*sprzedaz[[#This Row],[Cena_jednostkowa]]</f>
        <v>720</v>
      </c>
      <c r="H9">
        <f>sprzedaz[[#This Row],[Wartosć netto]]*0.23</f>
        <v>165.6</v>
      </c>
      <c r="I9">
        <f>sprzedaz[[#This Row],[Wartosć netto]]+sprzedaz[[#This Row],[VAT]]</f>
        <v>885.6</v>
      </c>
      <c r="J9" s="8" t="str">
        <f>IF(sprzedaz[[#This Row],[Wartosc brutto]]&gt;=500,"Duże","Standard")</f>
        <v>Duże</v>
      </c>
    </row>
    <row r="10" spans="1:12" ht="14.25">
      <c r="A10">
        <v>109</v>
      </c>
      <c r="B10" s="4">
        <v>45303</v>
      </c>
      <c r="C10" t="s">
        <v>18</v>
      </c>
      <c r="D10" t="s">
        <v>16</v>
      </c>
      <c r="E10">
        <v>3</v>
      </c>
      <c r="F10" s="7">
        <v>210</v>
      </c>
      <c r="G10">
        <f>sprzedaz[[#This Row],[Ilosc]]*sprzedaz[[#This Row],[Cena_jednostkowa]]</f>
        <v>630</v>
      </c>
      <c r="H10">
        <f>sprzedaz[[#This Row],[Wartosć netto]]*0.23</f>
        <v>144.9</v>
      </c>
      <c r="I10">
        <f>sprzedaz[[#This Row],[Wartosć netto]]+sprzedaz[[#This Row],[VAT]]</f>
        <v>774.9</v>
      </c>
      <c r="J10" s="8" t="str">
        <f>IF(sprzedaz[[#This Row],[Wartosc brutto]]&gt;=500,"Duże","Standard")</f>
        <v>Duże</v>
      </c>
    </row>
    <row r="11" spans="1:12" ht="14.25">
      <c r="A11">
        <v>110</v>
      </c>
      <c r="B11" s="4">
        <v>45306</v>
      </c>
      <c r="C11" t="s">
        <v>19</v>
      </c>
      <c r="D11" t="s">
        <v>7</v>
      </c>
      <c r="E11">
        <v>5</v>
      </c>
      <c r="F11" s="7">
        <v>85</v>
      </c>
      <c r="G11">
        <f>sprzedaz[[#This Row],[Ilosc]]*sprzedaz[[#This Row],[Cena_jednostkowa]]</f>
        <v>425</v>
      </c>
      <c r="H11">
        <f>sprzedaz[[#This Row],[Wartosć netto]]*0.23</f>
        <v>97.75</v>
      </c>
      <c r="I11">
        <f>sprzedaz[[#This Row],[Wartosć netto]]+sprzedaz[[#This Row],[VAT]]</f>
        <v>522.75</v>
      </c>
      <c r="J11" s="8" t="str">
        <f>IF(sprzedaz[[#This Row],[Wartosc brutto]]&gt;=500,"Duże","Standard")</f>
        <v>Duże</v>
      </c>
    </row>
    <row r="14" spans="1:12" ht="15" customHeight="1">
      <c r="E14" t="s">
        <v>28</v>
      </c>
      <c r="F14" t="s">
        <v>29</v>
      </c>
      <c r="G14" t="s">
        <v>27</v>
      </c>
      <c r="H14" t="s">
        <v>26</v>
      </c>
      <c r="J14" s="2" t="s">
        <v>20</v>
      </c>
      <c r="K14" s="2"/>
      <c r="L14" s="2"/>
    </row>
    <row r="15" spans="1:12">
      <c r="E15">
        <f>MAX(sprzedaz[Cena_jednostkowa])</f>
        <v>2500</v>
      </c>
      <c r="F15">
        <f>MIN(sprzedaz[Cena_jednostkowa])</f>
        <v>12</v>
      </c>
      <c r="G15">
        <f>AVERAGE(sprzedaz[Wartosć netto])</f>
        <v>671</v>
      </c>
      <c r="H15">
        <f>SUM(sprzedaz[Wartosc brutto])</f>
        <v>8253.2999999999993</v>
      </c>
      <c r="J15" s="1" t="s">
        <v>21</v>
      </c>
      <c r="K15" s="1"/>
      <c r="L15" s="1"/>
    </row>
    <row r="16" spans="1:12" ht="15" customHeight="1">
      <c r="B16" s="5"/>
      <c r="C16" s="6"/>
      <c r="D16" s="6"/>
    </row>
  </sheetData>
  <mergeCells count="2">
    <mergeCell ref="J14:L14"/>
    <mergeCell ref="J15:L15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UEAABQSwMEFAACAAgAHWdDXM/Fy12lAAAA9wAAABIAHABDb25maWcvUGFja2FnZS54bWwgohgAKKAUAAAAAAAAAAAAAAAAAAAAAAAAAAAAhY9NDoIwGESvQrqnPxASQ0qJcSuJidG4bUqFRvgwtFju5sIjeQUxirpzOW/eYuZ+vfF8bJvgontrOsgQwxQFGlRXGqgyNLhjuEC54BupTrLSwSSDTUdbZqh27pwS4r3HPsZdX5GIUkYOxXqrat1K9JHNfzk0YJ0EpZHg+9cYEWGWUMxoEmPKyUx5YeBrRNPgZ/sD+Wpo3NBroSFc7jiZIyfvE+IBUEsDBBQAAgAIAB1nQ1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dZ0Nc6ltJGH4BAAAKAwAAEwAcAEZvcm11bGFzL1NlY3Rpb24xLm0gohgAKKAUAAAAAAAAAAAAAAAAAAAAAAAAAAAAjVJNSwMxEL0X+h/CemlhWazaHix7kF3FIojSetGKxM1YY7OZJZm1bsWL+I88Cd5k/5epay21FswlmTdf7z1iISGJmvWru9Wt1+o1e8sNCGYzMwXBpyxkCqheY+6Ub+bjVZTP6MDI3gcxJnkKmhoHUkEQoSYX2IYX7Q7PLBg75CKVehiDHRNmw/nIILH3XtO/iEHJVBKY0Ot6PotQ5am2Ycdn+zpBIfUo7LQ3N1s+O82RoE+FgnDxDI5Rw2XTr7hteOephPKFUZF5jt+AX7uSgeHa3qBJq+GDIgPb+JHhPz56VaLl9rtGYAQP9OSzOb61Bt9eg++swdtr8M4S/rQQc8xH5fPH62QsGbIMxaQo3+0UdZG6aCrRaV2oPDGYOlcOgQvnemPJCp9dfKf3lOonXHFjQzL5b+e0+wD4D/P+R23mbC92y3uaOjvBrPVLdcyJzyULThXo+Il8TCsWHbmCERrJVzI9hTZZnR6B5ld3IDRaGuOE/zK3XpP6b8ndT1BLAQItABQAAgAIAB1nQ1zPxctdpQAAAPcAAAASAAAAAAAAAAAAAAAAAAAAAABDb25maWcvUGFja2FnZS54bWxQSwECLQAUAAIACAAdZ0NcD8rpq6QAAADpAAAAEwAAAAAAAAAAAAAAAADxAAAAW0NvbnRlbnRfVHlwZXNdLnhtbFBLAQItABQAAgAIAB1nQ1zqW0kYfgEAAAoDAAATAAAAAAAAAAAAAAAAAOIBAABGb3JtdWxhcy9TZWN0aW9uMS5tUEsFBgAAAAADAAMAwgAAAK0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0MAAAAAAAAeww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wcnplZGF6PC9JdGVtUGF0aD48L0l0ZW1Mb2NhdGlvbj48U3RhYmxlRW50cmllcz48RW50cnkgVHlwZT0iSXNQcml2YXRlIiBWYWx1ZT0ibDAiIC8+PEVudHJ5IFR5cGU9IlF1ZXJ5SUQiIFZhbHVlPSJzM2FiNjc4ZDgtM2I1My00ODYxLWFiMTctYWM4YTU1MGM3MmEx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3aWdhY2phIiAvPjxFbnRyeSBUeXBlPSJGaWxsVGFyZ2V0IiBWYWx1ZT0ic3NwcnplZGF6IiAvPjxFbnRyeSBUeXBlPSJGaWxsZWRDb21wbGV0ZVJlc3VsdFRvV29ya3NoZWV0IiBWYWx1ZT0ibDEiIC8+PEVudHJ5IFR5cGU9IkFkZGVkVG9EYXRhTW9kZWwiIFZhbHVlPSJsMCIgLz48RW50cnkgVHlwZT0iRmlsbENvdW50IiBWYWx1ZT0ibDEwIiAvPjxFbnRyeSBUeXBlPSJGaWxsRXJyb3JDb2RlIiBWYWx1ZT0ic1Vua25vd24iIC8+PEVudHJ5IFR5cGU9IkZpbGxFcnJvckNvdW50IiBWYWx1ZT0ibDAiIC8+PEVudHJ5IFR5cGU9IkZpbGxMYXN0VXBkYXRlZCIgVmFsdWU9ImQyMDI2LTAyLTAzVDExOjU2OjU5LjQxNDgwMTBaIiAvPjxFbnRyeSBUeXBlPSJGaWxsQ29sdW1uVHlwZXMiIFZhbHVlPSJzQXdrR0JnTUciIC8+PEVudHJ5IFR5cGU9IkZpbGxDb2x1bW5OYW1lcyIgVmFsdWU9InNbJnF1b3Q7SUQmcXVvdDssJnF1b3Q7RGF0YSZxdW90OywmcXVvdDtQcm9kdWt0JnF1b3Q7LCZxdW90O0thdGVnb3JpYSZxdW90OywmcXVvdDtJbG9zYyZxdW90OywmcXVvdDtDZW5hX2plZG5vc3Rrb3dhJnF1b3Q7XSIgLz48RW50cnkgVHlwZT0iRmlsbFN0YXR1cyIgVmFsdWU9InNDb21wbGV0ZSIgLz48RW50cnkgVHlwZT0iUmVsYXRpb25zaGlwSW5mb0NvbnRhaW5lciIgVmFsdWU9InN7JnF1b3Q7Y29sdW1uQ291bnQmcXVvdDs6NiwmcXVvdDtrZXlDb2x1bW5OYW1lcyZxdW90OzpbXSwmcXVvdDtxdWVyeVJlbGF0aW9uc2hpcHMmcXVvdDs6W10sJnF1b3Q7Y29sdW1uSWRlbnRpdGllcyZxdW90OzpbJnF1b3Q7U2VjdGlvbjEvc3ByemVkYXovQXV0b1JlbW92ZWRDb2x1bW5zMS57SUQsMH0mcXVvdDssJnF1b3Q7U2VjdGlvbjEvc3ByemVkYXovQXV0b1JlbW92ZWRDb2x1bW5zMS57RGF0YSwxfSZxdW90OywmcXVvdDtTZWN0aW9uMS9zcHJ6ZWRhei9BdXRvUmVtb3ZlZENvbHVtbnMxLntQcm9kdWt0LDJ9JnF1b3Q7LCZxdW90O1NlY3Rpb24xL3NwcnplZGF6L0F1dG9SZW1vdmVkQ29sdW1uczEue0thdGVnb3JpYSwzfSZxdW90OywmcXVvdDtTZWN0aW9uMS9zcHJ6ZWRhei9BdXRvUmVtb3ZlZENvbHVtbnMxLntJbG9zYyw0fSZxdW90OywmcXVvdDtTZWN0aW9uMS9zcHJ6ZWRhei9BdXRvUmVtb3ZlZENvbHVtbnMxLntDZW5hX2plZG5vc3Rrb3dhLDV9JnF1b3Q7XSwmcXVvdDtDb2x1bW5Db3VudCZxdW90Ozo2LCZxdW90O0tleUNvbHVtbk5hbWVzJnF1b3Q7OltdLCZxdW90O0NvbHVtbklkZW50aXRpZXMmcXVvdDs6WyZxdW90O1NlY3Rpb24xL3NwcnplZGF6L0F1dG9SZW1vdmVkQ29sdW1uczEue0lELDB9JnF1b3Q7LCZxdW90O1NlY3Rpb24xL3NwcnplZGF6L0F1dG9SZW1vdmVkQ29sdW1uczEue0RhdGEsMX0mcXVvdDssJnF1b3Q7U2VjdGlvbjEvc3ByemVkYXovQXV0b1JlbW92ZWRDb2x1bW5zMS57UHJvZHVrdCwyfSZxdW90OywmcXVvdDtTZWN0aW9uMS9zcHJ6ZWRhei9BdXRvUmVtb3ZlZENvbHVtbnMxLntLYXRlZ29yaWEsM30mcXVvdDssJnF1b3Q7U2VjdGlvbjEvc3ByemVkYXovQXV0b1JlbW92ZWRDb2x1bW5zMS57SWxvc2MsNH0mcXVvdDssJnF1b3Q7U2VjdGlvbjEvc3ByemVkYXovQXV0b1JlbW92ZWRDb2x1bW5zMS57Q2VuYV9qZWRub3N0a293YSw1fSZxdW90O10sJnF1b3Q7UmVsYXRpb25zaGlwSW5mbyZxdW90OzpbXX0iIC8+PC9TdGFibGVFbnRyaWVzPjwvSXRlbT48SXRlbT48SXRlbUxvY2F0aW9uPjxJdGVtVHlwZT5Gb3JtdWxhPC9JdGVtVHlwZT48SXRlbVBhdGg+U2VjdGlvbjEvc3ByemVkYXovJUM1JUI5ciVDMyVCM2QlQzUlODJvPC9JdGVtUGF0aD48L0l0ZW1Mb2NhdGlvbj48U3RhYmxlRW50cmllcyAvPjwvSXRlbT48SXRlbT48SXRlbUxvY2F0aW9uPjxJdGVtVHlwZT5Gb3JtdWxhPC9JdGVtVHlwZT48SXRlbVBhdGg+U2VjdGlvbjEvc3ByemVkYXovWm1pZSVDNSU4NCUyMHR5cDwvSXRlbVBhdGg+PC9JdGVtTG9jYXRpb24+PFN0YWJsZUVudHJpZXMgLz48L0l0ZW0+PEl0ZW0+PEl0ZW1Mb2NhdGlvbj48SXRlbVR5cGU+Rm9ybXVsYTwvSXRlbVR5cGU+PEl0ZW1QYXRoPlNlY3Rpb24xL3NwcnplZGF6L05hZyVDNSU4MiVDMyVCM3draSUyMG8lMjBwb2R3eSVDNSVCQ3N6b255bSUyMHBvemlvbWllPC9JdGVtUGF0aD48L0l0ZW1Mb2NhdGlvbj48U3RhYmxlRW50cmllcyAvPjwvSXRlbT48SXRlbT48SXRlbUxvY2F0aW9uPjxJdGVtVHlwZT5Gb3JtdWxhPC9JdGVtVHlwZT48SXRlbVBhdGg+U2VjdGlvbjEvc3ByemVkYXovWm1pZW5pb25vJTIwdHlwPC9JdGVtUGF0aD48L0l0ZW1Mb2NhdGlvbj48U3RhYmxlRW50cmllcyAvPjwvSXRlbT48L0l0ZW1zPjwvTG9jYWxQYWNrYWdlTWV0YWRhdGFGaWxlPhYAAABQSwUGAAAAAAAAAAAAAAAAAAAAAAAAJgEAAAEAAADQjJ3fARXREYx6AMBPwpfrAQAAAIH8KjZ+ik5Iq+eDRG8KBdwAAAAAAgAAAAAAEGYAAAABAAAgAAAAmY/6ziu/Lcli+4c2W8qNlMWv0MK2v57TdN5tE0fRpNcAAAAADoAAAAACAAAgAAAAD/QAIu2U55Zsp2Ka8sRrnFBa7IPn7GLnqxttsA2M6MpQAAAAo68heD8iYFlM0maMbGTgEpxpnJ7fSFRP8JwCMu3s66xPkPyavH4vJoNGmnZc7WJk+ulhP0oEZI0zX3Sm/p3SZwwJF7ooh6N56CGkGJfwTbxAAAAA7Y4qasNI8SNy7CDBDqJhI/SrvQ3mf3RF8V975uSa3I8vyCgKabHomfaZmzJAjsS8LP657Fk5WS4LynqGLvVgNg==</DataMashup>
</file>

<file path=customXml/itemProps1.xml><?xml version="1.0" encoding="utf-8"?>
<ds:datastoreItem xmlns:ds="http://schemas.openxmlformats.org/officeDocument/2006/customXml" ds:itemID="{3BA8E279-F799-46C2-80F0-CD7E549C8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Raport sprzedaży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Jarecki</dc:creator>
  <cp:lastModifiedBy>3G_1</cp:lastModifiedBy>
  <cp:revision>1</cp:revision>
  <dcterms:created xsi:type="dcterms:W3CDTF">2026-02-03T11:52:35Z</dcterms:created>
  <dcterms:modified xsi:type="dcterms:W3CDTF">2026-03-05T10:47:39Z</dcterms:modified>
  <dc:language>pl-PL</dc:language>
</cp:coreProperties>
</file>